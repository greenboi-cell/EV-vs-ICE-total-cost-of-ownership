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0km_Light" sheetId="2" state="visible" r:id="rId4"/>
    <sheet name="30km_Average" sheetId="3" state="visible" r:id="rId5"/>
    <sheet name="50km_Heavy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<sst xmlns="http://schemas.openxmlformats.org/spreadsheetml/2006/main" count="249" uniqueCount="96">
  <si>
    <t xml:space="preserve">TCO MODEL – KEY ASSUMPTIONS</t>
  </si>
  <si>
    <t xml:space="preserve">VEHICLE COSTS</t>
  </si>
  <si>
    <t xml:space="preserve">Honda Activa 6G – Ex-showroom (₹)</t>
  </si>
  <si>
    <t xml:space="preserve">Source: Zigwheels, Apr 2026</t>
  </si>
  <si>
    <t xml:space="preserve">Ather 450X (2.9 kWh) – Ex-showroom (₹)</t>
  </si>
  <si>
    <t xml:space="preserve">Source: BikeDekho, Apr 2026</t>
  </si>
  <si>
    <t xml:space="preserve">Activa – RTO + Registration (₹)</t>
  </si>
  <si>
    <t xml:space="preserve">Source: Zigwheels Delhi on-road breakdown</t>
  </si>
  <si>
    <t xml:space="preserve">Activa – Insurance Year 1 (₹)</t>
  </si>
  <si>
    <t xml:space="preserve">Ather – RTO (EVs: 100% waiver) (₹)</t>
  </si>
  <si>
    <t xml:space="preserve">Delhi EV Policy 2024-30 – full road tax exemption</t>
  </si>
  <si>
    <t xml:space="preserve">Ather – Insurance Year 1 (₹)</t>
  </si>
  <si>
    <t xml:space="preserve">Source: BikeDekho Delhi on-road breakdown</t>
  </si>
  <si>
    <t xml:space="preserve">SUBSIDIES (Applied to Ather 450X)</t>
  </si>
  <si>
    <t xml:space="preserve">PM E-DRIVE Central Subsidy (₹)</t>
  </si>
  <si>
    <t xml:space="preserve">₹2,500/kWh × 2.9 kWh battery, capped at ₹5,000 – Autocar India / PM E-DRIVE Apr 2026</t>
  </si>
  <si>
    <t xml:space="preserve">Delhi State Subsidy Yr 1 (₹)</t>
  </si>
  <si>
    <t xml:space="preserve">Delhi EV Policy 2024-30: ₹10,000/kWh capped ₹30,000; conservative est. ₹20,000</t>
  </si>
  <si>
    <t xml:space="preserve">Total EV Subsidy (₹)</t>
  </si>
  <si>
    <t xml:space="preserve">ENERGY &amp; EFFICIENCY</t>
  </si>
  <si>
    <t xml:space="preserve">Petrol price Delhi (₹/litre)</t>
  </si>
  <si>
    <t xml:space="preserve">BusinessToday / GoodReturns Apr 2026</t>
  </si>
  <si>
    <t xml:space="preserve">Activa fuel efficiency (km/litre)</t>
  </si>
  <si>
    <t xml:space="preserve">BikeWale user-reported average; OEM claim 47 kmpl</t>
  </si>
  <si>
    <t xml:space="preserve">Delhi domestic electricity rate (₹/kWh)</t>
  </si>
  <si>
    <t xml:space="preserve">DERC 2025-26 slab rate: 201-400 units = ₹4.50/kWh</t>
  </si>
  <si>
    <t xml:space="preserve">Ather 450X efficiency (km/kWh)</t>
  </si>
  <si>
    <t xml:space="preserve">2.9 kWh battery / 105 km TrueRange = ~36 km/kWh</t>
  </si>
  <si>
    <t xml:space="preserve">Ather 450X TrueRange per charge (km)</t>
  </si>
  <si>
    <t xml:space="preserve">BikeDekho / Ather 2025: 2.9 kWh variant TrueRange</t>
  </si>
  <si>
    <t xml:space="preserve">ANNUAL MAINTENANCE ESTIMATES (Years 1–5)</t>
  </si>
  <si>
    <t xml:space="preserve">Activa – Annual service cost (₹)</t>
  </si>
  <si>
    <t xml:space="preserve">Authorized dealer: ~₹700-₹1,000/service × 3-4 services/yr + consumables</t>
  </si>
  <si>
    <t xml:space="preserve">Activa – Annual insurance renewal (₹)</t>
  </si>
  <si>
    <t xml:space="preserve">Estimated comprehensive renewal yr 2-5 (PolicyBazaar avg)</t>
  </si>
  <si>
    <t xml:space="preserve">Ather – Annual service cost (₹)</t>
  </si>
  <si>
    <t xml:space="preserve">EV: brake pads, tyres, software – lower than ICE; Droom TCO data</t>
  </si>
  <si>
    <t xml:space="preserve">Ather – Annual insurance renewal (₹)</t>
  </si>
  <si>
    <t xml:space="preserve">Estimated EV comprehensive renewal yr 2-5</t>
  </si>
  <si>
    <t xml:space="preserve">USAGE SCENARIOS (Daily km)</t>
  </si>
  <si>
    <t xml:space="preserve">Light commuter – daily distance (km)</t>
  </si>
  <si>
    <t xml:space="preserve">Scenario 1: Short urban trips</t>
  </si>
  <si>
    <t xml:space="preserve">Average commuter – daily distance (km)</t>
  </si>
  <si>
    <t xml:space="preserve">Scenario 2: Typical Delhi commuter</t>
  </si>
  <si>
    <t xml:space="preserve">Heavy commuter – daily distance (km)</t>
  </si>
  <si>
    <t xml:space="preserve">Scenario 3: Delivery/long distance</t>
  </si>
  <si>
    <t xml:space="preserve">COLOR CODING</t>
  </si>
  <si>
    <t xml:space="preserve">Blue = Hardcoded input</t>
  </si>
  <si>
    <t xml:space="preserve">Black = Formula / calculated</t>
  </si>
  <si>
    <t xml:space="preserve">TCO ANALYSIS – LIGHT COMMUTER (10 km/day)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</si>
  <si>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</si>
  <si>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</si>
  <si>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</si>
  <si>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</si>
  <si>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</si>
  <si>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</si>
  <si>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</si>
  <si>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HONDA ACTIVA 6G (ICE)</t>
  </si>
  <si>
    <t xml:space="preserve">Upfront Cost (Ex-showroom + RTO + Ins.)</t>
  </si>
  <si>
    <t xml:space="preserve">-</t>
  </si>
  <si>
    <t xml:space="preserve">Annual Fuel Cost</t>
  </si>
  <si>
    <t xml:space="preserve">Annual Service Cost</t>
  </si>
  <si>
    <t xml:space="preserve">Insurance Renewal (Yr 2–5)</t>
  </si>
  <si>
    <t xml:space="preserve">Activa Cumulative TCO (₹)</t>
  </si>
  <si>
    <t xml:space="preserve">ATHER 450X (EV)</t>
  </si>
  <si>
    <t xml:space="preserve">Upfront Cost (Ex-showroom)</t>
  </si>
  <si>
    <t xml:space="preserve">Less: Central Subsidy (PM E-DRIVE)</t>
  </si>
  <si>
    <t xml:space="preserve">Less: Delhi State Subsidy</t>
  </si>
  <si>
    <t xml:space="preserve">Net Upfront Cost incl. Yr 1 Insurance</t>
  </si>
  <si>
    <t xml:space="preserve">Annual Charging Cost</t>
  </si>
  <si>
    <t xml:space="preserve">Insurance Yr 1 (included in upfront above)</t>
  </si>
  <si>
    <t xml:space="preserve">—</t>
  </si>
  <si>
    <t xml:space="preserve">Ather Cumulative TCO (₹)</t>
  </si>
  <si>
    <t xml:space="preserve">EV SAVINGS vs ICE (Activa − Ather cumulative TCO)</t>
  </si>
  <si>
    <t xml:space="preserve">Note: Positive value = EV is cheaper overall at that year-end.</t>
  </si>
  <si>
    <t xml:space="preserve">       Break-even = Year when EV savings first turn positive (&gt;0).</t>
  </si>
  <si>
    <t xml:space="preserve">TCO ANALYSIS – AVERAGE COMMUTER (30 km/day)</t>
  </si>
  <si>
    <t xml:space="preserve">TCO ANALYSIS – HEAVY COMMUTER (50 km/day)</t>
  </si>
  <si>
    <t xml:space="preserve">CHART DATA &amp; VISUALIZATIONS</t>
  </si>
  <si>
    <t xml:space="preserve">Year</t>
  </si>
  <si>
    <t xml:space="preserve">Activa TCO</t>
  </si>
  <si>
    <t xml:space="preserve">Ather TCO</t>
  </si>
  <si>
    <t xml:space="preserve">(10 km/day scenario)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</si>
  <si>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</si>
  <si>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</si>
  <si>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</si>
  <si>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</si>
  <si>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</si>
  <si>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(30 km/day scenario)</t>
  </si>
  <si>
    <t xml:space="preserve">(50 km/day scenario)</t>
  </si>
  <si>
    <t xml:space="preserve">SUBSIDY WATERFALL DATA</t>
  </si>
  <si>
    <t xml:space="preserve">Ather Ex-Showroom</t>
  </si>
  <si>
    <t xml:space="preserve">PM E-DRIVE (−)</t>
  </si>
  <si>
    <t xml:space="preserve">Delhi State Sub. (−)</t>
  </si>
  <si>
    <t xml:space="preserve">Net EV Cost</t>
  </si>
  <si>
    <t xml:space="preserve">Activa On-Road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</si>
</sst>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\₹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1F4E7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84B4B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TCO: Light Commuter (10 km/day)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84b4b"/>
            </a:solidFill>
            <a:ln w="24840">
              <a:solidFill>
                <a:srgbClr val="e84b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Charts!$B$5:$B$9</c:f>
              <c:numCache>
                <c:formatCode>\₹#,##0</c:formatCode>
                <c:ptCount val="5"/>
                <c:pt idx="0">
                  <c:v>100384.79787234</c:v>
                </c:pt>
                <c:pt idx="1">
                  <c:v>114744.595744681</c:v>
                </c:pt>
                <c:pt idx="2">
                  <c:v>129104.393617021</c:v>
                </c:pt>
                <c:pt idx="3">
                  <c:v>143464.191489362</c:v>
                </c:pt>
                <c:pt idx="4">
                  <c:v>157823.989361702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b050"/>
            </a:solidFill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Charts!$C$5:$C$9</c:f>
              <c:numCache>
                <c:formatCode>\₹#,##0</c:formatCode>
                <c:ptCount val="5"/>
                <c:pt idx="0">
                  <c:v>130822.25</c:v>
                </c:pt>
                <c:pt idx="1">
                  <c:v>136778.5</c:v>
                </c:pt>
                <c:pt idx="2">
                  <c:v>142734.75</c:v>
                </c:pt>
                <c:pt idx="3">
                  <c:v>148691</c:v>
                </c:pt>
                <c:pt idx="4">
                  <c:v>154647.25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843080"/>
        <c:axId val="16555044"/>
      </c:lineChart>
      <c:catAx>
        <c:axId val="868430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5044"/>
        <c:crosses val="autoZero"/>
        <c:auto val="1"/>
        <c:lblAlgn val="ctr"/>
        <c:lblOffset val="100"/>
        <c:noMultiLvlLbl val="0"/>
      </c:catAx>
      <c:valAx>
        <c:axId val="16555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43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TCO: Average Commuter (30 km/day)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84b4b"/>
            </a:solidFill>
            <a:ln w="24840">
              <a:solidFill>
                <a:srgbClr val="e84b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Charts!$A$13:$A$17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Charts!$B$13:$B$17</c:f>
              <c:numCache>
                <c:formatCode>\₹#,##0</c:formatCode>
                <c:ptCount val="5"/>
                <c:pt idx="0">
                  <c:v>115104.393617021</c:v>
                </c:pt>
                <c:pt idx="1">
                  <c:v>144183.787234043</c:v>
                </c:pt>
                <c:pt idx="2">
                  <c:v>173263.180851064</c:v>
                </c:pt>
                <c:pt idx="3">
                  <c:v>202342.574468085</c:v>
                </c:pt>
                <c:pt idx="4">
                  <c:v>231421.968085106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b050"/>
            </a:solidFill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Charts!$A$13:$A$17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Charts!$C$13:$C$17</c:f>
              <c:numCache>
                <c:formatCode>\₹#,##0</c:formatCode>
                <c:ptCount val="5"/>
                <c:pt idx="0">
                  <c:v>131734.75</c:v>
                </c:pt>
                <c:pt idx="1">
                  <c:v>138603.5</c:v>
                </c:pt>
                <c:pt idx="2">
                  <c:v>145472.25</c:v>
                </c:pt>
                <c:pt idx="3">
                  <c:v>152341</c:v>
                </c:pt>
                <c:pt idx="4">
                  <c:v>159209.75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145807"/>
        <c:axId val="24671973"/>
      </c:lineChart>
      <c:catAx>
        <c:axId val="77145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71973"/>
        <c:crosses val="autoZero"/>
        <c:auto val="1"/>
        <c:lblAlgn val="ctr"/>
        <c:lblOffset val="100"/>
        <c:noMultiLvlLbl val="0"/>
      </c:catAx>
      <c:valAx>
        <c:axId val="2467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45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TCO: Heavy Commuter (50 km/day)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84b4b"/>
            </a:solidFill>
            <a:ln w="24840">
              <a:solidFill>
                <a:srgbClr val="e84b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Charts!$A$21:$A$25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Charts!$B$21:$B$25</c:f>
              <c:numCache>
                <c:formatCode>\₹#,##0</c:formatCode>
                <c:ptCount val="5"/>
                <c:pt idx="0">
                  <c:v>129823.989361702</c:v>
                </c:pt>
                <c:pt idx="1">
                  <c:v>173622.978723404</c:v>
                </c:pt>
                <c:pt idx="2">
                  <c:v>217421.968085106</c:v>
                </c:pt>
                <c:pt idx="3">
                  <c:v>261220.957446809</c:v>
                </c:pt>
                <c:pt idx="4">
                  <c:v>305019.946808511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b050"/>
            </a:solidFill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Charts!$A$21:$A$25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Charts!$C$21:$C$25</c:f>
              <c:numCache>
                <c:formatCode>\₹#,##0</c:formatCode>
                <c:ptCount val="5"/>
                <c:pt idx="0">
                  <c:v>132647.25</c:v>
                </c:pt>
                <c:pt idx="1">
                  <c:v>140428.5</c:v>
                </c:pt>
                <c:pt idx="2">
                  <c:v>148209.75</c:v>
                </c:pt>
                <c:pt idx="3">
                  <c:v>155991</c:v>
                </c:pt>
                <c:pt idx="4">
                  <c:v>163772.25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0836"/>
        <c:axId val="44462916"/>
      </c:lineChart>
      <c:catAx>
        <c:axId val="3490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62916"/>
        <c:crosses val="autoZero"/>
        <c:auto val="1"/>
        <c:lblAlgn val="ctr"/>
        <c:lblOffset val="100"/>
        <c:noMultiLvlLbl val="0"/>
      </c:catAx>
      <c:valAx>
        <c:axId val="44462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0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 Subsidy Impact on Purchase Price vs 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Charts!$A$28:$A$32</c:f>
              <c:strCache>
                <c:ptCount val="5"/>
                <c:pt idx="0">
                  <c:v>Ather Ex-Showroom</c:v>
                </c:pt>
                <c:pt idx="1">
                  <c:v>PM E-DRIVE (−)</c:v>
                </c:pt>
                <c:pt idx="2">
                  <c:v>Delhi State Sub. (−)</c:v>
                </c:pt>
                <c:pt idx="3">
                  <c:v>Net EV Cost</c:v>
                </c:pt>
                <c:pt idx="4">
                  <c:v>Activa On-Road</c:v>
                </c:pt>
              </c:strCache>
            </c:strRef>
          </c:cat>
          <c:val>
            <c:numRef>
              <c:f>Charts!$B$28:$B$32</c:f>
              <c:numCache>
                <c:formatCode>\₹#,##0</c:formatCode>
                <c:ptCount val="5"/>
                <c:pt idx="0">
                  <c:v>147999</c:v>
                </c:pt>
                <c:pt idx="1">
                  <c:v>-5000</c:v>
                </c:pt>
                <c:pt idx="2">
                  <c:v>-20000</c:v>
                </c:pt>
                <c:pt idx="3">
                  <c:v>122999</c:v>
                </c:pt>
                <c:pt idx="4">
                  <c:v>89525</c:v>
                </c:pt>
              </c:numCache>
            </c:numRef>
          </c:val>
        </c:ser>
        <c:gapWidth val="150"/>
        <c:overlap val="0"/>
        <c:axId val="81785978"/>
        <c:axId val="66859374"/>
      </c:barChart>
      <c:catAx>
        <c:axId val="81785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Component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59374"/>
        <c:crosses val="autoZero"/>
        <c:auto val="1"/>
        <c:lblAlgn val="ctr"/>
        <c:lblOffset val="100"/>
        <c:noMultiLvlLbl val="0"/>
      </c:catAx>
      <c:valAx>
        <c:axId val="66859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5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12</xdr:col>
      <xdr:colOff>38520</xdr:colOff>
      <xdr:row>24</xdr:row>
      <xdr:rowOff>113400</xdr:rowOff>
    </xdr:to>
    <xdr:graphicFrame>
      <xdr:nvGraphicFramePr>
        <xdr:cNvPr id="0" name="Chart 1"/>
        <xdr:cNvGraphicFramePr/>
      </xdr:nvGraphicFramePr>
      <xdr:xfrm>
        <a:off x="5145480" y="375840"/>
        <a:ext cx="647928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12</xdr:col>
      <xdr:colOff>38520</xdr:colOff>
      <xdr:row>41</xdr:row>
      <xdr:rowOff>113760</xdr:rowOff>
    </xdr:to>
    <xdr:graphicFrame>
      <xdr:nvGraphicFramePr>
        <xdr:cNvPr id="1" name="Chart 2"/>
        <xdr:cNvGraphicFramePr/>
      </xdr:nvGraphicFramePr>
      <xdr:xfrm>
        <a:off x="5145480" y="3614040"/>
        <a:ext cx="647928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35</xdr:row>
      <xdr:rowOff>176040</xdr:rowOff>
    </xdr:from>
    <xdr:to>
      <xdr:col>12</xdr:col>
      <xdr:colOff>38520</xdr:colOff>
      <xdr:row>58</xdr:row>
      <xdr:rowOff>113760</xdr:rowOff>
    </xdr:to>
    <xdr:graphicFrame>
      <xdr:nvGraphicFramePr>
        <xdr:cNvPr id="2" name="Chart 3"/>
        <xdr:cNvGraphicFramePr/>
      </xdr:nvGraphicFramePr>
      <xdr:xfrm>
        <a:off x="5145480" y="685296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52</xdr:row>
      <xdr:rowOff>176040</xdr:rowOff>
    </xdr:from>
    <xdr:to>
      <xdr:col>12</xdr:col>
      <xdr:colOff>38520</xdr:colOff>
      <xdr:row>75</xdr:row>
      <xdr:rowOff>113760</xdr:rowOff>
    </xdr:to>
    <xdr:graphicFrame>
      <xdr:nvGraphicFramePr>
        <xdr:cNvPr id="3" name="Chart 4"/>
        <xdr:cNvGraphicFramePr/>
      </xdr:nvGraphicFramePr>
      <xdr:xfrm>
        <a:off x="5145480" y="1009152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38"/>
  </cols>
  <sheetData>
    <row r="1" customFormat="false" ht="30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3"/>
      <c r="C3" s="3"/>
    </row>
    <row r="4" customFormat="false" ht="15" hidden="false" customHeight="true" outlineLevel="0" collapsed="false">
      <c r="A4" s="4" t="s">
        <v>2</v>
      </c>
      <c r="B4" s="5" t="n">
        <v>75433</v>
      </c>
      <c r="C4" s="6" t="s">
        <v>3</v>
      </c>
    </row>
    <row r="5" customFormat="false" ht="15" hidden="false" customHeight="true" outlineLevel="0" collapsed="false">
      <c r="A5" s="4" t="s">
        <v>4</v>
      </c>
      <c r="B5" s="5" t="n">
        <v>147999</v>
      </c>
      <c r="C5" s="6" t="s">
        <v>5</v>
      </c>
    </row>
    <row r="6" customFormat="false" ht="15" hidden="false" customHeight="true" outlineLevel="0" collapsed="false">
      <c r="A6" s="4" t="s">
        <v>6</v>
      </c>
      <c r="B6" s="5" t="n">
        <v>7848</v>
      </c>
      <c r="C6" s="6" t="s">
        <v>7</v>
      </c>
    </row>
    <row r="7" customFormat="false" ht="15" hidden="false" customHeight="true" outlineLevel="0" collapsed="false">
      <c r="A7" s="4" t="s">
        <v>8</v>
      </c>
      <c r="B7" s="5" t="n">
        <v>6244</v>
      </c>
      <c r="C7" s="6" t="s">
        <v>7</v>
      </c>
    </row>
    <row r="8" customFormat="false" ht="15" hidden="false" customHeight="true" outlineLevel="0" collapsed="false">
      <c r="A8" s="4" t="s">
        <v>9</v>
      </c>
      <c r="B8" s="5" t="n">
        <v>0</v>
      </c>
      <c r="C8" s="6" t="s">
        <v>10</v>
      </c>
    </row>
    <row r="9" customFormat="false" ht="15" hidden="false" customHeight="true" outlineLevel="0" collapsed="false">
      <c r="A9" s="4" t="s">
        <v>11</v>
      </c>
      <c r="B9" s="5" t="n">
        <v>4867</v>
      </c>
      <c r="C9" s="6" t="s">
        <v>12</v>
      </c>
    </row>
    <row r="11" customFormat="false" ht="15" hidden="false" customHeight="true" outlineLevel="0" collapsed="false">
      <c r="A11" s="3" t="s">
        <v>13</v>
      </c>
      <c r="B11" s="3"/>
      <c r="C11" s="3"/>
    </row>
    <row r="12" customFormat="false" ht="15" hidden="false" customHeight="true" outlineLevel="0" collapsed="false">
      <c r="A12" s="4" t="s">
        <v>14</v>
      </c>
      <c r="B12" s="5" t="n">
        <v>5000</v>
      </c>
      <c r="C12" s="6" t="s">
        <v>15</v>
      </c>
    </row>
    <row r="13" customFormat="false" ht="15" hidden="false" customHeight="true" outlineLevel="0" collapsed="false">
      <c r="A13" s="4" t="s">
        <v>16</v>
      </c>
      <c r="B13" s="5" t="n">
        <v>20000</v>
      </c>
      <c r="C13" s="6" t="s">
        <v>17</v>
      </c>
    </row>
    <row r="14" customFormat="false" ht="15" hidden="false" customHeight="true" outlineLevel="0" collapsed="false">
      <c r="A14" s="7" t="s">
        <v>18</v>
      </c>
      <c r="B14" s="8" t="n">
        <f aca="false">B12+B13</f>
        <v>25000</v>
      </c>
    </row>
    <row r="16" customFormat="false" ht="15" hidden="false" customHeight="true" outlineLevel="0" collapsed="false">
      <c r="A16" s="3" t="s">
        <v>19</v>
      </c>
      <c r="B16" s="3"/>
      <c r="C16" s="3"/>
    </row>
    <row r="17" customFormat="false" ht="15" hidden="false" customHeight="true" outlineLevel="0" collapsed="false">
      <c r="A17" s="4" t="s">
        <v>20</v>
      </c>
      <c r="B17" s="9" t="n">
        <v>94.77</v>
      </c>
      <c r="C17" s="6" t="s">
        <v>21</v>
      </c>
    </row>
    <row r="18" customFormat="false" ht="15" hidden="false" customHeight="true" outlineLevel="0" collapsed="false">
      <c r="A18" s="4" t="s">
        <v>22</v>
      </c>
      <c r="B18" s="10" t="n">
        <v>47</v>
      </c>
      <c r="C18" s="6" t="s">
        <v>23</v>
      </c>
    </row>
    <row r="19" customFormat="false" ht="15" hidden="false" customHeight="true" outlineLevel="0" collapsed="false">
      <c r="A19" s="4" t="s">
        <v>24</v>
      </c>
      <c r="B19" s="9" t="n">
        <v>4.5</v>
      </c>
      <c r="C19" s="6" t="s">
        <v>25</v>
      </c>
    </row>
    <row r="20" customFormat="false" ht="15" hidden="false" customHeight="true" outlineLevel="0" collapsed="false">
      <c r="A20" s="4" t="s">
        <v>26</v>
      </c>
      <c r="B20" s="10" t="n">
        <v>36</v>
      </c>
      <c r="C20" s="6" t="s">
        <v>27</v>
      </c>
    </row>
    <row r="21" customFormat="false" ht="15" hidden="false" customHeight="true" outlineLevel="0" collapsed="false">
      <c r="A21" s="4" t="s">
        <v>28</v>
      </c>
      <c r="B21" s="10" t="n">
        <v>105</v>
      </c>
      <c r="C21" s="6" t="s">
        <v>29</v>
      </c>
    </row>
    <row r="23" customFormat="false" ht="15" hidden="false" customHeight="true" outlineLevel="0" collapsed="false">
      <c r="A23" s="3" t="s">
        <v>30</v>
      </c>
      <c r="B23" s="3"/>
      <c r="C23" s="3"/>
    </row>
    <row r="24" customFormat="false" ht="15" hidden="false" customHeight="true" outlineLevel="0" collapsed="false">
      <c r="A24" s="4" t="s">
        <v>31</v>
      </c>
      <c r="B24" s="5" t="n">
        <v>3500</v>
      </c>
      <c r="C24" s="6" t="s">
        <v>32</v>
      </c>
    </row>
    <row r="25" customFormat="false" ht="15" hidden="false" customHeight="true" outlineLevel="0" collapsed="false">
      <c r="A25" s="4" t="s">
        <v>33</v>
      </c>
      <c r="B25" s="5" t="n">
        <v>3500</v>
      </c>
      <c r="C25" s="6" t="s">
        <v>34</v>
      </c>
    </row>
    <row r="26" customFormat="false" ht="15" hidden="false" customHeight="true" outlineLevel="0" collapsed="false">
      <c r="A26" s="4" t="s">
        <v>35</v>
      </c>
      <c r="B26" s="5" t="n">
        <v>2500</v>
      </c>
      <c r="C26" s="6" t="s">
        <v>36</v>
      </c>
    </row>
    <row r="27" customFormat="false" ht="15" hidden="false" customHeight="true" outlineLevel="0" collapsed="false">
      <c r="A27" s="4" t="s">
        <v>37</v>
      </c>
      <c r="B27" s="5" t="n">
        <v>3000</v>
      </c>
      <c r="C27" s="6" t="s">
        <v>38</v>
      </c>
    </row>
    <row r="29" customFormat="false" ht="15" hidden="false" customHeight="true" outlineLevel="0" collapsed="false">
      <c r="A29" s="3" t="s">
        <v>39</v>
      </c>
      <c r="B29" s="3"/>
      <c r="C29" s="3"/>
    </row>
    <row r="30" customFormat="false" ht="15" hidden="false" customHeight="true" outlineLevel="0" collapsed="false">
      <c r="A30" s="4" t="s">
        <v>40</v>
      </c>
      <c r="B30" s="10" t="n">
        <v>10</v>
      </c>
      <c r="C30" s="6" t="s">
        <v>41</v>
      </c>
    </row>
    <row r="31" customFormat="false" ht="15" hidden="false" customHeight="true" outlineLevel="0" collapsed="false">
      <c r="A31" s="4" t="s">
        <v>42</v>
      </c>
      <c r="B31" s="10" t="n">
        <v>30</v>
      </c>
      <c r="C31" s="6" t="s">
        <v>43</v>
      </c>
    </row>
    <row r="32" customFormat="false" ht="15" hidden="false" customHeight="true" outlineLevel="0" collapsed="false">
      <c r="A32" s="4" t="s">
        <v>44</v>
      </c>
      <c r="B32" s="10" t="n">
        <v>50</v>
      </c>
      <c r="C32" s="6" t="s">
        <v>45</v>
      </c>
    </row>
    <row r="33" customFormat="false" ht="15" hidden="false" customHeight="true" outlineLevel="0" collapsed="false">
      <c r="A33" s="11" t="s">
        <v>46</v>
      </c>
      <c r="B33" s="11"/>
      <c r="C33" s="11"/>
    </row>
    <row r="34" customFormat="false" ht="15" hidden="false" customHeight="true" outlineLevel="0" collapsed="false">
      <c r="A34" s="12" t="s">
        <v>47</v>
      </c>
    </row>
    <row r="35" customFormat="false" ht="15" hidden="false" customHeight="true" outlineLevel="0" collapsed="false">
      <c r="A35" s="13" t="s">
        <v>48</v>
      </c>
    </row>
  </sheetData>
  <mergeCells count="7">
    <mergeCell ref="A1:C1"/>
    <mergeCell ref="A3:C3"/>
    <mergeCell ref="A11:C11"/>
    <mergeCell ref="A16:C16"/>
    <mergeCell ref="A23:C23"/>
    <mergeCell ref="A29:C29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</cols>
  <sheetData>
    <row r="1" customFormat="false" ht="27.7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4" t="s">
        <v>50</v>
      </c>
      <c r="B2" s="14" t="s">
        <v>51</v>
      </c>
      <c r="C2" s="14" t="s">
        <v>52</v>
      </c>
      <c r="D2" s="14" t="s">
        <v>53</v>
      </c>
      <c r="E2" s="14" t="s">
        <v>54</v>
      </c>
      <c r="F2" s="14" t="s">
        <v>55</v>
      </c>
      <c r="G2" s="15" t="s">
        <v>56</v>
      </c>
    </row>
    <row r="3" customFormat="false" ht="15" hidden="false" customHeight="true" outlineLevel="0" collapsed="false">
      <c r="A3" s="16" t="s">
        <v>57</v>
      </c>
      <c r="B3" s="16"/>
      <c r="C3" s="16"/>
      <c r="D3" s="16"/>
      <c r="E3" s="16"/>
      <c r="F3" s="16"/>
      <c r="G3" s="16"/>
    </row>
    <row r="4" customFormat="false" ht="15" hidden="false" customHeight="true" outlineLevel="0" collapsed="false">
      <c r="A4" s="4" t="s">
        <v>58</v>
      </c>
      <c r="B4" s="17" t="n">
        <f aca="false">Assumptions!B4+Assumptions!B6+Assumptions!B7</f>
        <v>89525</v>
      </c>
      <c r="C4" s="18" t="s">
        <v>59</v>
      </c>
      <c r="D4" s="18" t="s">
        <v>59</v>
      </c>
      <c r="E4" s="18" t="s">
        <v>59</v>
      </c>
      <c r="F4" s="18" t="s">
        <v>59</v>
      </c>
      <c r="G4" s="17" t="n">
        <f aca="false">B4</f>
        <v>89525</v>
      </c>
    </row>
    <row r="5" customFormat="false" ht="15" hidden="false" customHeight="true" outlineLevel="0" collapsed="false">
      <c r="A5" s="4" t="s">
        <v>60</v>
      </c>
      <c r="B5" s="17" t="n">
        <f aca="false">(Assumptions!B30*365*Assumptions!B17)/Assumptions!B18</f>
        <v>7359.79787234043</v>
      </c>
      <c r="C5" s="17" t="n">
        <f aca="false">(Assumptions!B30*365*Assumptions!B17)/Assumptions!B18</f>
        <v>7359.79787234043</v>
      </c>
      <c r="D5" s="17" t="n">
        <f aca="false">(Assumptions!B30*365*Assumptions!B17)/Assumptions!B18</f>
        <v>7359.79787234043</v>
      </c>
      <c r="E5" s="17" t="n">
        <f aca="false">(Assumptions!B30*365*Assumptions!B17)/Assumptions!B18</f>
        <v>7359.79787234043</v>
      </c>
      <c r="F5" s="17" t="n">
        <f aca="false">(Assumptions!B30*365*Assumptions!B17)/Assumptions!B18</f>
        <v>7359.79787234043</v>
      </c>
      <c r="G5" s="17" t="n">
        <f aca="false">SUM(B5:F5)</f>
        <v>36798.9893617021</v>
      </c>
    </row>
    <row r="6" customFormat="false" ht="15" hidden="false" customHeight="true" outlineLevel="0" collapsed="false">
      <c r="A6" s="4" t="s">
        <v>61</v>
      </c>
      <c r="B6" s="17" t="n">
        <f aca="false">Assumptions!B24</f>
        <v>3500</v>
      </c>
      <c r="C6" s="17" t="n">
        <f aca="false">Assumptions!B24</f>
        <v>3500</v>
      </c>
      <c r="D6" s="17" t="n">
        <f aca="false">Assumptions!B24</f>
        <v>3500</v>
      </c>
      <c r="E6" s="17" t="n">
        <f aca="false">Assumptions!B24</f>
        <v>3500</v>
      </c>
      <c r="F6" s="17" t="n">
        <f aca="false">Assumptions!B24</f>
        <v>3500</v>
      </c>
      <c r="G6" s="17" t="n">
        <f aca="false">SUM(B6:F6)</f>
        <v>17500</v>
      </c>
    </row>
    <row r="7" customFormat="false" ht="15" hidden="false" customHeight="true" outlineLevel="0" collapsed="false">
      <c r="A7" s="4" t="s">
        <v>62</v>
      </c>
      <c r="B7" s="18" t="s">
        <v>59</v>
      </c>
      <c r="C7" s="17" t="n">
        <f aca="false">Assumptions!B25</f>
        <v>3500</v>
      </c>
      <c r="D7" s="17" t="n">
        <f aca="false">Assumptions!B25</f>
        <v>3500</v>
      </c>
      <c r="E7" s="17" t="n">
        <f aca="false">Assumptions!B25</f>
        <v>3500</v>
      </c>
      <c r="F7" s="17" t="n">
        <f aca="false">Assumptions!B25</f>
        <v>3500</v>
      </c>
      <c r="G7" s="17" t="n">
        <f aca="false">SUM(C7:F7)</f>
        <v>14000</v>
      </c>
    </row>
    <row r="8" customFormat="false" ht="15" hidden="false" customHeight="true" outlineLevel="0" collapsed="false">
      <c r="A8" s="19" t="s">
        <v>63</v>
      </c>
      <c r="B8" s="17" t="n">
        <f aca="false">SUM(B4:B4)+SUM(B5:B5)+SUM(B6:B6)+SUM(B7:B7)</f>
        <v>100384.79787234</v>
      </c>
      <c r="C8" s="17" t="n">
        <f aca="false">SUM(B4:C4)+SUM(B5:C5)+SUM(B6:C6)+SUM(B7:C7)</f>
        <v>114744.595744681</v>
      </c>
      <c r="D8" s="17" t="n">
        <f aca="false">SUM(B4:D4)+SUM(B5:D5)+SUM(B6:D6)+SUM(B7:D7)</f>
        <v>129104.393617021</v>
      </c>
      <c r="E8" s="17" t="n">
        <f aca="false">SUM(B4:E4)+SUM(B5:E5)+SUM(B6:E6)+SUM(B7:E7)</f>
        <v>143464.191489362</v>
      </c>
      <c r="F8" s="17" t="n">
        <f aca="false">SUM(B4:F4)+SUM(B5:F5)+SUM(B6:F6)+SUM(B7:F7)</f>
        <v>157823.989361702</v>
      </c>
      <c r="G8" s="8" t="n">
        <f aca="false">F8</f>
        <v>157823.989361702</v>
      </c>
    </row>
    <row r="10" customFormat="false" ht="15" hidden="false" customHeight="true" outlineLevel="0" collapsed="false">
      <c r="A10" s="16" t="s">
        <v>64</v>
      </c>
      <c r="B10" s="16"/>
      <c r="C10" s="16"/>
      <c r="D10" s="16"/>
      <c r="E10" s="16"/>
      <c r="F10" s="16"/>
      <c r="G10" s="16"/>
    </row>
    <row r="11" customFormat="false" ht="15" hidden="false" customHeight="true" outlineLevel="0" collapsed="false">
      <c r="A11" s="4" t="s">
        <v>65</v>
      </c>
      <c r="B11" s="17" t="n">
        <f aca="false">Assumptions!B5</f>
        <v>147999</v>
      </c>
      <c r="C11" s="18" t="s">
        <v>59</v>
      </c>
      <c r="D11" s="18" t="s">
        <v>59</v>
      </c>
      <c r="E11" s="18" t="s">
        <v>59</v>
      </c>
      <c r="F11" s="18" t="s">
        <v>59</v>
      </c>
      <c r="G11" s="17" t="n">
        <f aca="false">B11</f>
        <v>147999</v>
      </c>
    </row>
    <row r="12" customFormat="false" ht="15" hidden="false" customHeight="true" outlineLevel="0" collapsed="false">
      <c r="A12" s="4" t="s">
        <v>66</v>
      </c>
      <c r="B12" s="17" t="n">
        <f aca="false">-Assumptions!B12</f>
        <v>-5000</v>
      </c>
      <c r="C12" s="18" t="s">
        <v>59</v>
      </c>
      <c r="D12" s="18" t="s">
        <v>59</v>
      </c>
      <c r="E12" s="18" t="s">
        <v>59</v>
      </c>
      <c r="F12" s="18" t="s">
        <v>59</v>
      </c>
      <c r="G12" s="17" t="n">
        <f aca="false">B12</f>
        <v>-5000</v>
      </c>
    </row>
    <row r="13" customFormat="false" ht="15" hidden="false" customHeight="true" outlineLevel="0" collapsed="false">
      <c r="A13" s="4" t="s">
        <v>67</v>
      </c>
      <c r="B13" s="17" t="n">
        <f aca="false">-Assumptions!B13</f>
        <v>-20000</v>
      </c>
      <c r="C13" s="18" t="s">
        <v>59</v>
      </c>
      <c r="D13" s="18" t="s">
        <v>59</v>
      </c>
      <c r="E13" s="18" t="s">
        <v>59</v>
      </c>
      <c r="F13" s="18" t="s">
        <v>59</v>
      </c>
      <c r="G13" s="17" t="n">
        <f aca="false">B13</f>
        <v>-20000</v>
      </c>
    </row>
    <row r="14" customFormat="false" ht="15" hidden="false" customHeight="true" outlineLevel="0" collapsed="false">
      <c r="A14" s="4" t="s">
        <v>68</v>
      </c>
      <c r="B14" s="8" t="n">
        <f aca="false">Assumptions!B5-Assumptions!B12-Assumptions!B13+Assumptions!B9</f>
        <v>127866</v>
      </c>
      <c r="C14" s="18" t="s">
        <v>59</v>
      </c>
      <c r="D14" s="18" t="s">
        <v>59</v>
      </c>
      <c r="E14" s="18" t="s">
        <v>59</v>
      </c>
      <c r="F14" s="18" t="s">
        <v>59</v>
      </c>
      <c r="G14" s="17" t="n">
        <f aca="false">B14</f>
        <v>127866</v>
      </c>
    </row>
    <row r="15" customFormat="false" ht="15" hidden="false" customHeight="true" outlineLevel="0" collapsed="false">
      <c r="A15" s="4" t="s">
        <v>69</v>
      </c>
      <c r="B15" s="17" t="n">
        <f aca="false">(Assumptions!B30*365/Assumptions!B20)*Assumptions!B19</f>
        <v>456.25</v>
      </c>
      <c r="C15" s="17" t="n">
        <f aca="false">(Assumptions!B30*365/Assumptions!B20)*Assumptions!B19</f>
        <v>456.25</v>
      </c>
      <c r="D15" s="17" t="n">
        <f aca="false">(Assumptions!B30*365/Assumptions!B20)*Assumptions!B19</f>
        <v>456.25</v>
      </c>
      <c r="E15" s="17" t="n">
        <f aca="false">(Assumptions!B30*365/Assumptions!B20)*Assumptions!B19</f>
        <v>456.25</v>
      </c>
      <c r="F15" s="17" t="n">
        <f aca="false">(Assumptions!B30*365/Assumptions!B20)*Assumptions!B19</f>
        <v>456.25</v>
      </c>
      <c r="G15" s="17" t="n">
        <f aca="false">SUM(B15:F15)</f>
        <v>2281.25</v>
      </c>
    </row>
    <row r="16" customFormat="false" ht="15" hidden="false" customHeight="true" outlineLevel="0" collapsed="false">
      <c r="A16" s="4" t="s">
        <v>61</v>
      </c>
      <c r="B16" s="17" t="n">
        <f aca="false">Assumptions!B26</f>
        <v>2500</v>
      </c>
      <c r="C16" s="17" t="n">
        <f aca="false">Assumptions!B26</f>
        <v>2500</v>
      </c>
      <c r="D16" s="17" t="n">
        <f aca="false">Assumptions!B26</f>
        <v>2500</v>
      </c>
      <c r="E16" s="17" t="n">
        <f aca="false">Assumptions!B26</f>
        <v>2500</v>
      </c>
      <c r="F16" s="17" t="n">
        <f aca="false">Assumptions!B26</f>
        <v>2500</v>
      </c>
      <c r="G16" s="17" t="n">
        <f aca="false">SUM(B16:F16)</f>
        <v>12500</v>
      </c>
    </row>
    <row r="17" customFormat="false" ht="15" hidden="false" customHeight="true" outlineLevel="0" collapsed="false">
      <c r="A17" s="4" t="s">
        <v>70</v>
      </c>
      <c r="B17" s="17" t="s">
        <v>71</v>
      </c>
      <c r="C17" s="20" t="s">
        <v>71</v>
      </c>
      <c r="D17" s="20" t="s">
        <v>71</v>
      </c>
      <c r="E17" s="20" t="s">
        <v>71</v>
      </c>
      <c r="F17" s="20" t="s">
        <v>71</v>
      </c>
      <c r="G17" s="17" t="s">
        <v>71</v>
      </c>
    </row>
    <row r="18" customFormat="false" ht="15" hidden="false" customHeight="true" outlineLevel="0" collapsed="false">
      <c r="A18" s="4" t="s">
        <v>62</v>
      </c>
      <c r="B18" s="18" t="s">
        <v>59</v>
      </c>
      <c r="C18" s="17" t="n">
        <f aca="false">Assumptions!B27</f>
        <v>3000</v>
      </c>
      <c r="D18" s="17" t="n">
        <f aca="false">Assumptions!B27</f>
        <v>3000</v>
      </c>
      <c r="E18" s="17" t="n">
        <f aca="false">Assumptions!B27</f>
        <v>3000</v>
      </c>
      <c r="F18" s="17" t="n">
        <f aca="false">Assumptions!B27</f>
        <v>3000</v>
      </c>
      <c r="G18" s="17" t="n">
        <f aca="false">SUM(C18:F18)</f>
        <v>12000</v>
      </c>
    </row>
    <row r="19" customFormat="false" ht="15" hidden="false" customHeight="true" outlineLevel="0" collapsed="false">
      <c r="A19" s="19" t="s">
        <v>72</v>
      </c>
      <c r="B19" s="17" t="n">
        <f aca="false">SUM(B14:B14)+SUM(B15:B15)+SUM(B16:B16)+SUM(B17:B17)+SUM(B18:B18)</f>
        <v>130822.25</v>
      </c>
      <c r="C19" s="17" t="n">
        <f aca="false">SUM(B14:C14)+SUM(B15:C15)+SUM(B16:C16)+SUM(B17:C17)+SUM(B18:C18)</f>
        <v>136778.5</v>
      </c>
      <c r="D19" s="17" t="n">
        <f aca="false">SUM(B14:D14)+SUM(B15:D15)+SUM(B16:D16)+SUM(B17:D17)+SUM(B18:D18)</f>
        <v>142734.75</v>
      </c>
      <c r="E19" s="17" t="n">
        <f aca="false">SUM(B14:E14)+SUM(B15:E15)+SUM(B16:E16)+SUM(B17:E17)+SUM(B18:E18)</f>
        <v>148691</v>
      </c>
      <c r="F19" s="17" t="n">
        <f aca="false">SUM(B14:F14)+SUM(B15:F15)+SUM(B16:F16)+SUM(B17:F17)+SUM(B18:F18)</f>
        <v>154647.25</v>
      </c>
      <c r="G19" s="8" t="n">
        <f aca="false">F19</f>
        <v>154647.25</v>
      </c>
    </row>
    <row r="21" customFormat="false" ht="15" hidden="false" customHeight="true" outlineLevel="0" collapsed="false">
      <c r="A21" s="16" t="s">
        <v>73</v>
      </c>
      <c r="B21" s="16"/>
      <c r="C21" s="16"/>
      <c r="D21" s="16"/>
      <c r="E21" s="16"/>
      <c r="F21" s="16"/>
      <c r="G21" s="16"/>
    </row>
    <row r="22" customFormat="false" ht="15" hidden="false" customHeight="true" outlineLevel="0" collapsed="false">
      <c r="B22" s="8" t="n">
        <f aca="false">B8-B19</f>
        <v>-30437.4521276596</v>
      </c>
      <c r="C22" s="8" t="n">
        <f aca="false">C8-C19</f>
        <v>-22033.9042553192</v>
      </c>
      <c r="D22" s="8" t="n">
        <f aca="false">D8-D19</f>
        <v>-13630.3563829787</v>
      </c>
      <c r="E22" s="8" t="n">
        <f aca="false">E8-E19</f>
        <v>-5226.80851063831</v>
      </c>
      <c r="F22" s="8" t="n">
        <f aca="false">F8-F19</f>
        <v>3176.73936170212</v>
      </c>
      <c r="G22" s="8" t="n">
        <f aca="false">G8-G19</f>
        <v>3176.73936170212</v>
      </c>
    </row>
    <row r="24" customFormat="false" ht="15" hidden="false" customHeight="true" outlineLevel="0" collapsed="false">
      <c r="A24" s="21" t="s">
        <v>74</v>
      </c>
    </row>
    <row r="25" customFormat="false" ht="15" hidden="false" customHeight="true" outlineLevel="0" collapsed="false">
      <c r="A25" s="21" t="s">
        <v>75</v>
      </c>
    </row>
  </sheetData>
  <mergeCells count="4">
    <mergeCell ref="A1:G1"/>
    <mergeCell ref="A3:G3"/>
    <mergeCell ref="A10:G1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</cols>
  <sheetData>
    <row r="1" customFormat="false" ht="27.7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4" t="s">
        <v>50</v>
      </c>
      <c r="B2" s="14" t="s">
        <v>51</v>
      </c>
      <c r="C2" s="14" t="s">
        <v>52</v>
      </c>
      <c r="D2" s="14" t="s">
        <v>53</v>
      </c>
      <c r="E2" s="14" t="s">
        <v>54</v>
      </c>
      <c r="F2" s="14" t="s">
        <v>55</v>
      </c>
      <c r="G2" s="15" t="s">
        <v>56</v>
      </c>
    </row>
    <row r="3" customFormat="false" ht="15" hidden="false" customHeight="true" outlineLevel="0" collapsed="false">
      <c r="A3" s="16" t="s">
        <v>57</v>
      </c>
      <c r="B3" s="16"/>
      <c r="C3" s="16"/>
      <c r="D3" s="16"/>
      <c r="E3" s="16"/>
      <c r="F3" s="16"/>
      <c r="G3" s="16"/>
    </row>
    <row r="4" customFormat="false" ht="15" hidden="false" customHeight="true" outlineLevel="0" collapsed="false">
      <c r="A4" s="4" t="s">
        <v>58</v>
      </c>
      <c r="B4" s="17" t="n">
        <f aca="false">Assumptions!B4+Assumptions!B6+Assumptions!B7</f>
        <v>89525</v>
      </c>
      <c r="C4" s="18" t="s">
        <v>59</v>
      </c>
      <c r="D4" s="18" t="s">
        <v>59</v>
      </c>
      <c r="E4" s="18" t="s">
        <v>59</v>
      </c>
      <c r="F4" s="18" t="s">
        <v>59</v>
      </c>
      <c r="G4" s="17" t="n">
        <f aca="false">B4</f>
        <v>89525</v>
      </c>
    </row>
    <row r="5" customFormat="false" ht="15" hidden="false" customHeight="true" outlineLevel="0" collapsed="false">
      <c r="A5" s="4" t="s">
        <v>60</v>
      </c>
      <c r="B5" s="17" t="n">
        <f aca="false">(Assumptions!B31*365*Assumptions!B17)/Assumptions!B18</f>
        <v>22079.3936170213</v>
      </c>
      <c r="C5" s="17" t="n">
        <f aca="false">(Assumptions!B31*365*Assumptions!B17)/Assumptions!B18</f>
        <v>22079.3936170213</v>
      </c>
      <c r="D5" s="17" t="n">
        <f aca="false">(Assumptions!B31*365*Assumptions!B17)/Assumptions!B18</f>
        <v>22079.3936170213</v>
      </c>
      <c r="E5" s="17" t="n">
        <f aca="false">(Assumptions!B31*365*Assumptions!B17)/Assumptions!B18</f>
        <v>22079.3936170213</v>
      </c>
      <c r="F5" s="17" t="n">
        <f aca="false">(Assumptions!B31*365*Assumptions!B17)/Assumptions!B18</f>
        <v>22079.3936170213</v>
      </c>
      <c r="G5" s="17" t="n">
        <f aca="false">SUM(B5:F5)</f>
        <v>110396.968085106</v>
      </c>
    </row>
    <row r="6" customFormat="false" ht="15" hidden="false" customHeight="true" outlineLevel="0" collapsed="false">
      <c r="A6" s="4" t="s">
        <v>61</v>
      </c>
      <c r="B6" s="17" t="n">
        <f aca="false">Assumptions!B24</f>
        <v>3500</v>
      </c>
      <c r="C6" s="17" t="n">
        <f aca="false">Assumptions!B24</f>
        <v>3500</v>
      </c>
      <c r="D6" s="17" t="n">
        <f aca="false">Assumptions!B24</f>
        <v>3500</v>
      </c>
      <c r="E6" s="17" t="n">
        <f aca="false">Assumptions!B24</f>
        <v>3500</v>
      </c>
      <c r="F6" s="17" t="n">
        <f aca="false">Assumptions!B24</f>
        <v>3500</v>
      </c>
      <c r="G6" s="17" t="n">
        <f aca="false">SUM(B6:F6)</f>
        <v>17500</v>
      </c>
    </row>
    <row r="7" customFormat="false" ht="15" hidden="false" customHeight="true" outlineLevel="0" collapsed="false">
      <c r="A7" s="4" t="s">
        <v>62</v>
      </c>
      <c r="B7" s="18" t="s">
        <v>59</v>
      </c>
      <c r="C7" s="17" t="n">
        <f aca="false">Assumptions!B25</f>
        <v>3500</v>
      </c>
      <c r="D7" s="17" t="n">
        <f aca="false">Assumptions!B25</f>
        <v>3500</v>
      </c>
      <c r="E7" s="17" t="n">
        <f aca="false">Assumptions!B25</f>
        <v>3500</v>
      </c>
      <c r="F7" s="17" t="n">
        <f aca="false">Assumptions!B25</f>
        <v>3500</v>
      </c>
      <c r="G7" s="17" t="n">
        <f aca="false">SUM(C7:F7)</f>
        <v>14000</v>
      </c>
    </row>
    <row r="8" customFormat="false" ht="15" hidden="false" customHeight="true" outlineLevel="0" collapsed="false">
      <c r="A8" s="19" t="s">
        <v>63</v>
      </c>
      <c r="B8" s="17" t="n">
        <f aca="false">SUM(B4:B4)+SUM(B5:B5)+SUM(B6:B6)+SUM(B7:B7)</f>
        <v>115104.393617021</v>
      </c>
      <c r="C8" s="17" t="n">
        <f aca="false">SUM(B4:C4)+SUM(B5:C5)+SUM(B6:C6)+SUM(B7:C7)</f>
        <v>144183.787234043</v>
      </c>
      <c r="D8" s="17" t="n">
        <f aca="false">SUM(B4:D4)+SUM(B5:D5)+SUM(B6:D6)+SUM(B7:D7)</f>
        <v>173263.180851064</v>
      </c>
      <c r="E8" s="17" t="n">
        <f aca="false">SUM(B4:E4)+SUM(B5:E5)+SUM(B6:E6)+SUM(B7:E7)</f>
        <v>202342.574468085</v>
      </c>
      <c r="F8" s="17" t="n">
        <f aca="false">SUM(B4:F4)+SUM(B5:F5)+SUM(B6:F6)+SUM(B7:F7)</f>
        <v>231421.968085106</v>
      </c>
      <c r="G8" s="8" t="n">
        <f aca="false">F8</f>
        <v>231421.968085106</v>
      </c>
    </row>
    <row r="10" customFormat="false" ht="15" hidden="false" customHeight="true" outlineLevel="0" collapsed="false">
      <c r="A10" s="16" t="s">
        <v>64</v>
      </c>
      <c r="B10" s="16"/>
      <c r="C10" s="16"/>
      <c r="D10" s="16"/>
      <c r="E10" s="16"/>
      <c r="F10" s="16"/>
      <c r="G10" s="16"/>
    </row>
    <row r="11" customFormat="false" ht="15" hidden="false" customHeight="true" outlineLevel="0" collapsed="false">
      <c r="A11" s="4" t="s">
        <v>65</v>
      </c>
      <c r="B11" s="17" t="n">
        <f aca="false">Assumptions!B5</f>
        <v>147999</v>
      </c>
      <c r="C11" s="18" t="s">
        <v>59</v>
      </c>
      <c r="D11" s="18" t="s">
        <v>59</v>
      </c>
      <c r="E11" s="18" t="s">
        <v>59</v>
      </c>
      <c r="F11" s="18" t="s">
        <v>59</v>
      </c>
      <c r="G11" s="17" t="n">
        <f aca="false">B11</f>
        <v>147999</v>
      </c>
    </row>
    <row r="12" customFormat="false" ht="15" hidden="false" customHeight="true" outlineLevel="0" collapsed="false">
      <c r="A12" s="4" t="s">
        <v>66</v>
      </c>
      <c r="B12" s="17" t="n">
        <f aca="false">-Assumptions!B12</f>
        <v>-5000</v>
      </c>
      <c r="C12" s="18" t="s">
        <v>59</v>
      </c>
      <c r="D12" s="18" t="s">
        <v>59</v>
      </c>
      <c r="E12" s="18" t="s">
        <v>59</v>
      </c>
      <c r="F12" s="18" t="s">
        <v>59</v>
      </c>
      <c r="G12" s="17" t="n">
        <f aca="false">B12</f>
        <v>-5000</v>
      </c>
    </row>
    <row r="13" customFormat="false" ht="15" hidden="false" customHeight="true" outlineLevel="0" collapsed="false">
      <c r="A13" s="4" t="s">
        <v>67</v>
      </c>
      <c r="B13" s="17" t="n">
        <f aca="false">-Assumptions!B13</f>
        <v>-20000</v>
      </c>
      <c r="C13" s="18" t="s">
        <v>59</v>
      </c>
      <c r="D13" s="18" t="s">
        <v>59</v>
      </c>
      <c r="E13" s="18" t="s">
        <v>59</v>
      </c>
      <c r="F13" s="18" t="s">
        <v>59</v>
      </c>
      <c r="G13" s="17" t="n">
        <f aca="false">B13</f>
        <v>-20000</v>
      </c>
    </row>
    <row r="14" customFormat="false" ht="15" hidden="false" customHeight="true" outlineLevel="0" collapsed="false">
      <c r="A14" s="4" t="s">
        <v>68</v>
      </c>
      <c r="B14" s="8" t="n">
        <f aca="false">Assumptions!B5-Assumptions!B12-Assumptions!B13+Assumptions!B9</f>
        <v>127866</v>
      </c>
      <c r="C14" s="18" t="s">
        <v>59</v>
      </c>
      <c r="D14" s="18" t="s">
        <v>59</v>
      </c>
      <c r="E14" s="18" t="s">
        <v>59</v>
      </c>
      <c r="F14" s="18" t="s">
        <v>59</v>
      </c>
      <c r="G14" s="17" t="n">
        <f aca="false">B14</f>
        <v>127866</v>
      </c>
    </row>
    <row r="15" customFormat="false" ht="15" hidden="false" customHeight="true" outlineLevel="0" collapsed="false">
      <c r="A15" s="4" t="s">
        <v>69</v>
      </c>
      <c r="B15" s="17" t="n">
        <f aca="false">(Assumptions!B31*365/Assumptions!B20)*Assumptions!B19</f>
        <v>1368.75</v>
      </c>
      <c r="C15" s="17" t="n">
        <f aca="false">(Assumptions!B31*365/Assumptions!B20)*Assumptions!B19</f>
        <v>1368.75</v>
      </c>
      <c r="D15" s="17" t="n">
        <f aca="false">(Assumptions!B31*365/Assumptions!B20)*Assumptions!B19</f>
        <v>1368.75</v>
      </c>
      <c r="E15" s="17" t="n">
        <f aca="false">(Assumptions!B31*365/Assumptions!B20)*Assumptions!B19</f>
        <v>1368.75</v>
      </c>
      <c r="F15" s="17" t="n">
        <f aca="false">(Assumptions!B31*365/Assumptions!B20)*Assumptions!B19</f>
        <v>1368.75</v>
      </c>
      <c r="G15" s="17" t="n">
        <f aca="false">SUM(B15:F15)</f>
        <v>6843.75</v>
      </c>
    </row>
    <row r="16" customFormat="false" ht="15" hidden="false" customHeight="true" outlineLevel="0" collapsed="false">
      <c r="A16" s="4" t="s">
        <v>61</v>
      </c>
      <c r="B16" s="17" t="n">
        <f aca="false">Assumptions!B26</f>
        <v>2500</v>
      </c>
      <c r="C16" s="17" t="n">
        <f aca="false">Assumptions!B26</f>
        <v>2500</v>
      </c>
      <c r="D16" s="17" t="n">
        <f aca="false">Assumptions!B26</f>
        <v>2500</v>
      </c>
      <c r="E16" s="17" t="n">
        <f aca="false">Assumptions!B26</f>
        <v>2500</v>
      </c>
      <c r="F16" s="17" t="n">
        <f aca="false">Assumptions!B26</f>
        <v>2500</v>
      </c>
      <c r="G16" s="17" t="n">
        <f aca="false">SUM(B16:F16)</f>
        <v>12500</v>
      </c>
    </row>
    <row r="17" customFormat="false" ht="15" hidden="false" customHeight="true" outlineLevel="0" collapsed="false">
      <c r="A17" s="4" t="s">
        <v>70</v>
      </c>
      <c r="B17" s="17" t="s">
        <v>71</v>
      </c>
      <c r="C17" s="20" t="s">
        <v>71</v>
      </c>
      <c r="D17" s="20" t="s">
        <v>71</v>
      </c>
      <c r="E17" s="20" t="s">
        <v>71</v>
      </c>
      <c r="F17" s="20" t="s">
        <v>71</v>
      </c>
      <c r="G17" s="17" t="s">
        <v>71</v>
      </c>
    </row>
    <row r="18" customFormat="false" ht="15" hidden="false" customHeight="true" outlineLevel="0" collapsed="false">
      <c r="A18" s="4" t="s">
        <v>62</v>
      </c>
      <c r="B18" s="18" t="s">
        <v>59</v>
      </c>
      <c r="C18" s="17" t="n">
        <f aca="false">Assumptions!B27</f>
        <v>3000</v>
      </c>
      <c r="D18" s="17" t="n">
        <f aca="false">Assumptions!B27</f>
        <v>3000</v>
      </c>
      <c r="E18" s="17" t="n">
        <f aca="false">Assumptions!B27</f>
        <v>3000</v>
      </c>
      <c r="F18" s="17" t="n">
        <f aca="false">Assumptions!B27</f>
        <v>3000</v>
      </c>
      <c r="G18" s="17" t="n">
        <f aca="false">SUM(C18:F18)</f>
        <v>12000</v>
      </c>
    </row>
    <row r="19" customFormat="false" ht="15" hidden="false" customHeight="true" outlineLevel="0" collapsed="false">
      <c r="A19" s="19" t="s">
        <v>72</v>
      </c>
      <c r="B19" s="17" t="n">
        <f aca="false">SUM(B14:B14)+SUM(B15:B15)+SUM(B16:B16)+SUM(B17:B17)+SUM(B18:B18)</f>
        <v>131734.75</v>
      </c>
      <c r="C19" s="17" t="n">
        <f aca="false">SUM(B14:C14)+SUM(B15:C15)+SUM(B16:C16)+SUM(B17:C17)+SUM(B18:C18)</f>
        <v>138603.5</v>
      </c>
      <c r="D19" s="17" t="n">
        <f aca="false">SUM(B14:D14)+SUM(B15:D15)+SUM(B16:D16)+SUM(B17:D17)+SUM(B18:D18)</f>
        <v>145472.25</v>
      </c>
      <c r="E19" s="17" t="n">
        <f aca="false">SUM(B14:E14)+SUM(B15:E15)+SUM(B16:E16)+SUM(B17:E17)+SUM(B18:E18)</f>
        <v>152341</v>
      </c>
      <c r="F19" s="17" t="n">
        <f aca="false">SUM(B14:F14)+SUM(B15:F15)+SUM(B16:F16)+SUM(B17:F17)+SUM(B18:F18)</f>
        <v>159209.75</v>
      </c>
      <c r="G19" s="8" t="n">
        <f aca="false">F19</f>
        <v>159209.75</v>
      </c>
    </row>
    <row r="21" customFormat="false" ht="15" hidden="false" customHeight="true" outlineLevel="0" collapsed="false">
      <c r="A21" s="16" t="s">
        <v>73</v>
      </c>
      <c r="B21" s="16"/>
      <c r="C21" s="16"/>
      <c r="D21" s="16"/>
      <c r="E21" s="16"/>
      <c r="F21" s="16"/>
      <c r="G21" s="16"/>
    </row>
    <row r="22" customFormat="false" ht="15" hidden="false" customHeight="true" outlineLevel="0" collapsed="false">
      <c r="B22" s="8" t="n">
        <f aca="false">B8-B19</f>
        <v>-16630.3563829787</v>
      </c>
      <c r="C22" s="8" t="n">
        <f aca="false">C8-C19</f>
        <v>5580.28723404254</v>
      </c>
      <c r="D22" s="8" t="n">
        <f aca="false">D8-D19</f>
        <v>27790.9308510638</v>
      </c>
      <c r="E22" s="8" t="n">
        <f aca="false">E8-E19</f>
        <v>50001.5744680851</v>
      </c>
      <c r="F22" s="8" t="n">
        <f aca="false">F8-F19</f>
        <v>72212.2180851064</v>
      </c>
      <c r="G22" s="8" t="n">
        <f aca="false">G8-G19</f>
        <v>72212.2180851064</v>
      </c>
    </row>
    <row r="24" customFormat="false" ht="15" hidden="false" customHeight="true" outlineLevel="0" collapsed="false">
      <c r="A24" s="21" t="s">
        <v>74</v>
      </c>
    </row>
    <row r="25" customFormat="false" ht="15" hidden="false" customHeight="true" outlineLevel="0" collapsed="false">
      <c r="A25" s="21" t="s">
        <v>75</v>
      </c>
    </row>
  </sheetData>
  <mergeCells count="4">
    <mergeCell ref="A1:G1"/>
    <mergeCell ref="A3:G3"/>
    <mergeCell ref="A10:G1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</cols>
  <sheetData>
    <row r="1" customFormat="false" ht="27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4" t="s">
        <v>50</v>
      </c>
      <c r="B2" s="14" t="s">
        <v>51</v>
      </c>
      <c r="C2" s="14" t="s">
        <v>52</v>
      </c>
      <c r="D2" s="14" t="s">
        <v>53</v>
      </c>
      <c r="E2" s="14" t="s">
        <v>54</v>
      </c>
      <c r="F2" s="14" t="s">
        <v>55</v>
      </c>
      <c r="G2" s="15" t="s">
        <v>56</v>
      </c>
    </row>
    <row r="3" customFormat="false" ht="15" hidden="false" customHeight="true" outlineLevel="0" collapsed="false">
      <c r="A3" s="16" t="s">
        <v>57</v>
      </c>
      <c r="B3" s="16"/>
      <c r="C3" s="16"/>
      <c r="D3" s="16"/>
      <c r="E3" s="16"/>
      <c r="F3" s="16"/>
      <c r="G3" s="16"/>
    </row>
    <row r="4" customFormat="false" ht="15" hidden="false" customHeight="true" outlineLevel="0" collapsed="false">
      <c r="A4" s="4" t="s">
        <v>58</v>
      </c>
      <c r="B4" s="17" t="n">
        <f aca="false">Assumptions!B4+Assumptions!B6+Assumptions!B7</f>
        <v>89525</v>
      </c>
      <c r="C4" s="18" t="s">
        <v>59</v>
      </c>
      <c r="D4" s="18" t="s">
        <v>59</v>
      </c>
      <c r="E4" s="18" t="s">
        <v>59</v>
      </c>
      <c r="F4" s="18" t="s">
        <v>59</v>
      </c>
      <c r="G4" s="17" t="n">
        <f aca="false">B4</f>
        <v>89525</v>
      </c>
    </row>
    <row r="5" customFormat="false" ht="15" hidden="false" customHeight="true" outlineLevel="0" collapsed="false">
      <c r="A5" s="4" t="s">
        <v>60</v>
      </c>
      <c r="B5" s="17" t="n">
        <f aca="false">(Assumptions!B32*365*Assumptions!B17)/Assumptions!B18</f>
        <v>36798.9893617021</v>
      </c>
      <c r="C5" s="17" t="n">
        <f aca="false">(Assumptions!B32*365*Assumptions!B17)/Assumptions!B18</f>
        <v>36798.9893617021</v>
      </c>
      <c r="D5" s="17" t="n">
        <f aca="false">(Assumptions!B32*365*Assumptions!B17)/Assumptions!B18</f>
        <v>36798.9893617021</v>
      </c>
      <c r="E5" s="17" t="n">
        <f aca="false">(Assumptions!B32*365*Assumptions!B17)/Assumptions!B18</f>
        <v>36798.9893617021</v>
      </c>
      <c r="F5" s="17" t="n">
        <f aca="false">(Assumptions!B32*365*Assumptions!B17)/Assumptions!B18</f>
        <v>36798.9893617021</v>
      </c>
      <c r="G5" s="17" t="n">
        <f aca="false">SUM(B5:F5)</f>
        <v>183994.946808511</v>
      </c>
    </row>
    <row r="6" customFormat="false" ht="15" hidden="false" customHeight="true" outlineLevel="0" collapsed="false">
      <c r="A6" s="4" t="s">
        <v>61</v>
      </c>
      <c r="B6" s="17" t="n">
        <f aca="false">Assumptions!B24</f>
        <v>3500</v>
      </c>
      <c r="C6" s="17" t="n">
        <f aca="false">Assumptions!B24</f>
        <v>3500</v>
      </c>
      <c r="D6" s="17" t="n">
        <f aca="false">Assumptions!B24</f>
        <v>3500</v>
      </c>
      <c r="E6" s="17" t="n">
        <f aca="false">Assumptions!B24</f>
        <v>3500</v>
      </c>
      <c r="F6" s="17" t="n">
        <f aca="false">Assumptions!B24</f>
        <v>3500</v>
      </c>
      <c r="G6" s="17" t="n">
        <f aca="false">SUM(B6:F6)</f>
        <v>17500</v>
      </c>
    </row>
    <row r="7" customFormat="false" ht="15" hidden="false" customHeight="true" outlineLevel="0" collapsed="false">
      <c r="A7" s="4" t="s">
        <v>62</v>
      </c>
      <c r="B7" s="18" t="s">
        <v>59</v>
      </c>
      <c r="C7" s="17" t="n">
        <f aca="false">Assumptions!B25</f>
        <v>3500</v>
      </c>
      <c r="D7" s="17" t="n">
        <f aca="false">Assumptions!B25</f>
        <v>3500</v>
      </c>
      <c r="E7" s="17" t="n">
        <f aca="false">Assumptions!B25</f>
        <v>3500</v>
      </c>
      <c r="F7" s="17" t="n">
        <f aca="false">Assumptions!B25</f>
        <v>3500</v>
      </c>
      <c r="G7" s="17" t="n">
        <f aca="false">SUM(C7:F7)</f>
        <v>14000</v>
      </c>
    </row>
    <row r="8" customFormat="false" ht="15" hidden="false" customHeight="true" outlineLevel="0" collapsed="false">
      <c r="A8" s="19" t="s">
        <v>63</v>
      </c>
      <c r="B8" s="17" t="n">
        <f aca="false">SUM(B4:B4)+SUM(B5:B5)+SUM(B6:B6)+SUM(B7:B7)</f>
        <v>129823.989361702</v>
      </c>
      <c r="C8" s="17" t="n">
        <f aca="false">SUM(B4:C4)+SUM(B5:C5)+SUM(B6:C6)+SUM(B7:C7)</f>
        <v>173622.978723404</v>
      </c>
      <c r="D8" s="17" t="n">
        <f aca="false">SUM(B4:D4)+SUM(B5:D5)+SUM(B6:D6)+SUM(B7:D7)</f>
        <v>217421.968085106</v>
      </c>
      <c r="E8" s="17" t="n">
        <f aca="false">SUM(B4:E4)+SUM(B5:E5)+SUM(B6:E6)+SUM(B7:E7)</f>
        <v>261220.957446809</v>
      </c>
      <c r="F8" s="17" t="n">
        <f aca="false">SUM(B4:F4)+SUM(B5:F5)+SUM(B6:F6)+SUM(B7:F7)</f>
        <v>305019.946808511</v>
      </c>
      <c r="G8" s="8" t="n">
        <f aca="false">F8</f>
        <v>305019.946808511</v>
      </c>
    </row>
    <row r="10" customFormat="false" ht="15" hidden="false" customHeight="true" outlineLevel="0" collapsed="false">
      <c r="A10" s="16" t="s">
        <v>64</v>
      </c>
      <c r="B10" s="16"/>
      <c r="C10" s="16"/>
      <c r="D10" s="16"/>
      <c r="E10" s="16"/>
      <c r="F10" s="16"/>
      <c r="G10" s="16"/>
    </row>
    <row r="11" customFormat="false" ht="15" hidden="false" customHeight="true" outlineLevel="0" collapsed="false">
      <c r="A11" s="4" t="s">
        <v>65</v>
      </c>
      <c r="B11" s="17" t="n">
        <f aca="false">Assumptions!B5</f>
        <v>147999</v>
      </c>
      <c r="C11" s="18" t="s">
        <v>59</v>
      </c>
      <c r="D11" s="18" t="s">
        <v>59</v>
      </c>
      <c r="E11" s="18" t="s">
        <v>59</v>
      </c>
      <c r="F11" s="18" t="s">
        <v>59</v>
      </c>
      <c r="G11" s="17" t="n">
        <f aca="false">B11</f>
        <v>147999</v>
      </c>
    </row>
    <row r="12" customFormat="false" ht="15" hidden="false" customHeight="true" outlineLevel="0" collapsed="false">
      <c r="A12" s="4" t="s">
        <v>66</v>
      </c>
      <c r="B12" s="17" t="n">
        <f aca="false">-Assumptions!B12</f>
        <v>-5000</v>
      </c>
      <c r="C12" s="18" t="s">
        <v>59</v>
      </c>
      <c r="D12" s="18" t="s">
        <v>59</v>
      </c>
      <c r="E12" s="18" t="s">
        <v>59</v>
      </c>
      <c r="F12" s="18" t="s">
        <v>59</v>
      </c>
      <c r="G12" s="17" t="n">
        <f aca="false">B12</f>
        <v>-5000</v>
      </c>
    </row>
    <row r="13" customFormat="false" ht="15" hidden="false" customHeight="true" outlineLevel="0" collapsed="false">
      <c r="A13" s="4" t="s">
        <v>67</v>
      </c>
      <c r="B13" s="17" t="n">
        <f aca="false">-Assumptions!B13</f>
        <v>-20000</v>
      </c>
      <c r="C13" s="18" t="s">
        <v>59</v>
      </c>
      <c r="D13" s="18" t="s">
        <v>59</v>
      </c>
      <c r="E13" s="18" t="s">
        <v>59</v>
      </c>
      <c r="F13" s="18" t="s">
        <v>59</v>
      </c>
      <c r="G13" s="17" t="n">
        <f aca="false">B13</f>
        <v>-20000</v>
      </c>
    </row>
    <row r="14" customFormat="false" ht="15" hidden="false" customHeight="true" outlineLevel="0" collapsed="false">
      <c r="A14" s="4" t="s">
        <v>68</v>
      </c>
      <c r="B14" s="8" t="n">
        <f aca="false">Assumptions!B5-Assumptions!B12-Assumptions!B13+Assumptions!B9</f>
        <v>127866</v>
      </c>
      <c r="C14" s="18" t="s">
        <v>59</v>
      </c>
      <c r="D14" s="18" t="s">
        <v>59</v>
      </c>
      <c r="E14" s="18" t="s">
        <v>59</v>
      </c>
      <c r="F14" s="18" t="s">
        <v>59</v>
      </c>
      <c r="G14" s="17" t="n">
        <f aca="false">B14</f>
        <v>127866</v>
      </c>
    </row>
    <row r="15" customFormat="false" ht="15" hidden="false" customHeight="true" outlineLevel="0" collapsed="false">
      <c r="A15" s="4" t="s">
        <v>69</v>
      </c>
      <c r="B15" s="17" t="n">
        <f aca="false">(Assumptions!B32*365/Assumptions!B20)*Assumptions!B19</f>
        <v>2281.25</v>
      </c>
      <c r="C15" s="17" t="n">
        <f aca="false">(Assumptions!B32*365/Assumptions!B20)*Assumptions!B19</f>
        <v>2281.25</v>
      </c>
      <c r="D15" s="17" t="n">
        <f aca="false">(Assumptions!B32*365/Assumptions!B20)*Assumptions!B19</f>
        <v>2281.25</v>
      </c>
      <c r="E15" s="17" t="n">
        <f aca="false">(Assumptions!B32*365/Assumptions!B20)*Assumptions!B19</f>
        <v>2281.25</v>
      </c>
      <c r="F15" s="17" t="n">
        <f aca="false">(Assumptions!B32*365/Assumptions!B20)*Assumptions!B19</f>
        <v>2281.25</v>
      </c>
      <c r="G15" s="17" t="n">
        <f aca="false">SUM(B15:F15)</f>
        <v>11406.25</v>
      </c>
    </row>
    <row r="16" customFormat="false" ht="15" hidden="false" customHeight="true" outlineLevel="0" collapsed="false">
      <c r="A16" s="4" t="s">
        <v>61</v>
      </c>
      <c r="B16" s="17" t="n">
        <f aca="false">Assumptions!B26</f>
        <v>2500</v>
      </c>
      <c r="C16" s="17" t="n">
        <f aca="false">Assumptions!B26</f>
        <v>2500</v>
      </c>
      <c r="D16" s="17" t="n">
        <f aca="false">Assumptions!B26</f>
        <v>2500</v>
      </c>
      <c r="E16" s="17" t="n">
        <f aca="false">Assumptions!B26</f>
        <v>2500</v>
      </c>
      <c r="F16" s="17" t="n">
        <f aca="false">Assumptions!B26</f>
        <v>2500</v>
      </c>
      <c r="G16" s="17" t="n">
        <f aca="false">SUM(B16:F16)</f>
        <v>12500</v>
      </c>
    </row>
    <row r="17" customFormat="false" ht="15" hidden="false" customHeight="true" outlineLevel="0" collapsed="false">
      <c r="A17" s="4" t="s">
        <v>70</v>
      </c>
      <c r="B17" s="17" t="s">
        <v>71</v>
      </c>
      <c r="C17" s="20" t="s">
        <v>71</v>
      </c>
      <c r="D17" s="20" t="s">
        <v>71</v>
      </c>
      <c r="E17" s="20" t="s">
        <v>71</v>
      </c>
      <c r="F17" s="20" t="s">
        <v>71</v>
      </c>
      <c r="G17" s="17" t="s">
        <v>71</v>
      </c>
    </row>
    <row r="18" customFormat="false" ht="15" hidden="false" customHeight="true" outlineLevel="0" collapsed="false">
      <c r="A18" s="4" t="s">
        <v>62</v>
      </c>
      <c r="B18" s="18" t="s">
        <v>59</v>
      </c>
      <c r="C18" s="17" t="n">
        <f aca="false">Assumptions!B27</f>
        <v>3000</v>
      </c>
      <c r="D18" s="17" t="n">
        <f aca="false">Assumptions!B27</f>
        <v>3000</v>
      </c>
      <c r="E18" s="17" t="n">
        <f aca="false">Assumptions!B27</f>
        <v>3000</v>
      </c>
      <c r="F18" s="17" t="n">
        <f aca="false">Assumptions!B27</f>
        <v>3000</v>
      </c>
      <c r="G18" s="17" t="n">
        <f aca="false">SUM(C18:F18)</f>
        <v>12000</v>
      </c>
    </row>
    <row r="19" customFormat="false" ht="15" hidden="false" customHeight="true" outlineLevel="0" collapsed="false">
      <c r="A19" s="19" t="s">
        <v>72</v>
      </c>
      <c r="B19" s="17" t="n">
        <f aca="false">SUM(B14:B14)+SUM(B15:B15)+SUM(B16:B16)+SUM(B17:B17)+SUM(B18:B18)</f>
        <v>132647.25</v>
      </c>
      <c r="C19" s="17" t="n">
        <f aca="false">SUM(B14:C14)+SUM(B15:C15)+SUM(B16:C16)+SUM(B17:C17)+SUM(B18:C18)</f>
        <v>140428.5</v>
      </c>
      <c r="D19" s="17" t="n">
        <f aca="false">SUM(B14:D14)+SUM(B15:D15)+SUM(B16:D16)+SUM(B17:D17)+SUM(B18:D18)</f>
        <v>148209.75</v>
      </c>
      <c r="E19" s="17" t="n">
        <f aca="false">SUM(B14:E14)+SUM(B15:E15)+SUM(B16:E16)+SUM(B17:E17)+SUM(B18:E18)</f>
        <v>155991</v>
      </c>
      <c r="F19" s="17" t="n">
        <f aca="false">SUM(B14:F14)+SUM(B15:F15)+SUM(B16:F16)+SUM(B17:F17)+SUM(B18:F18)</f>
        <v>163772.25</v>
      </c>
      <c r="G19" s="8" t="n">
        <f aca="false">F19</f>
        <v>163772.25</v>
      </c>
    </row>
    <row r="21" customFormat="false" ht="15" hidden="false" customHeight="true" outlineLevel="0" collapsed="false">
      <c r="A21" s="16" t="s">
        <v>73</v>
      </c>
      <c r="B21" s="16"/>
      <c r="C21" s="16"/>
      <c r="D21" s="16"/>
      <c r="E21" s="16"/>
      <c r="F21" s="16"/>
      <c r="G21" s="16"/>
    </row>
    <row r="22" customFormat="false" ht="15" hidden="false" customHeight="true" outlineLevel="0" collapsed="false">
      <c r="B22" s="8" t="n">
        <f aca="false">B8-B19</f>
        <v>-2823.26063829787</v>
      </c>
      <c r="C22" s="8" t="n">
        <f aca="false">C8-C19</f>
        <v>33194.4787234043</v>
      </c>
      <c r="D22" s="8" t="n">
        <f aca="false">D8-D19</f>
        <v>69212.2180851064</v>
      </c>
      <c r="E22" s="8" t="n">
        <f aca="false">E8-E19</f>
        <v>105229.957446809</v>
      </c>
      <c r="F22" s="8" t="n">
        <f aca="false">F8-F19</f>
        <v>141247.696808511</v>
      </c>
      <c r="G22" s="8" t="n">
        <f aca="false">G8-G19</f>
        <v>141247.696808511</v>
      </c>
    </row>
    <row r="24" customFormat="false" ht="15" hidden="false" customHeight="true" outlineLevel="0" collapsed="false">
      <c r="A24" s="21" t="s">
        <v>74</v>
      </c>
    </row>
    <row r="25" customFormat="false" ht="15" hidden="false" customHeight="true" outlineLevel="0" collapsed="false">
      <c r="A25" s="21" t="s">
        <v>75</v>
      </c>
    </row>
  </sheetData>
  <mergeCells count="4">
    <mergeCell ref="A1:G1"/>
    <mergeCell ref="A3:G3"/>
    <mergeCell ref="A10:G1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7" min="2" style="1" width="16"/>
  </cols>
  <sheetData>
    <row r="1" customFormat="false" ht="15.7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22" t="s">
        <v>79</v>
      </c>
      <c r="B3" s="22" t="s">
        <v>80</v>
      </c>
      <c r="C3" s="22" t="s">
        <v>81</v>
      </c>
    </row>
    <row r="4" customFormat="false" ht="15" hidden="false" customHeight="true" outlineLevel="0" collapsed="false">
      <c r="A4" s="23" t="s">
        <v>82</v>
      </c>
      <c r="B4" s="23"/>
      <c r="C4" s="23"/>
    </row>
    <row r="5" customFormat="false" ht="15" hidden="false" customHeight="true" outlineLevel="0" collapsed="false">
      <c r="A5" s="1" t="s">
        <v>83</v>
      </c>
      <c r="B5" s="24" t="n">
        <f aca="false">10km_Light!B8</f>
        <v>100384.79787234</v>
      </c>
      <c r="C5" s="24" t="n">
        <f aca="false">10km_Light!B19</f>
        <v>130822.25</v>
      </c>
    </row>
    <row r="6" customFormat="false" ht="15" hidden="false" customHeight="true" outlineLevel="0" collapsed="false">
      <c r="A6" s="1" t="s">
        <v>84</v>
      </c>
      <c r="B6" s="24" t="n">
        <f aca="false">10km_Light!C8</f>
        <v>114744.595744681</v>
      </c>
      <c r="C6" s="24" t="n">
        <f aca="false">10km_Light!C19</f>
        <v>136778.5</v>
      </c>
    </row>
    <row r="7" customFormat="false" ht="15" hidden="false" customHeight="true" outlineLevel="0" collapsed="false">
      <c r="A7" s="1" t="s">
        <v>85</v>
      </c>
      <c r="B7" s="24" t="n">
        <f aca="false">10km_Light!D8</f>
        <v>129104.393617021</v>
      </c>
      <c r="C7" s="24" t="n">
        <f aca="false">10km_Light!D19</f>
        <v>142734.75</v>
      </c>
    </row>
    <row r="8" customFormat="false" ht="15" hidden="false" customHeight="true" outlineLevel="0" collapsed="false">
      <c r="A8" s="1" t="s">
        <v>86</v>
      </c>
      <c r="B8" s="24" t="n">
        <f aca="false">10km_Light!E8</f>
        <v>143464.191489362</v>
      </c>
      <c r="C8" s="24" t="n">
        <f aca="false">10km_Light!E19</f>
        <v>148691</v>
      </c>
    </row>
    <row r="9" customFormat="false" ht="15" hidden="false" customHeight="true" outlineLevel="0" collapsed="false">
      <c r="A9" s="1" t="s">
        <v>87</v>
      </c>
      <c r="B9" s="24" t="n">
        <f aca="false">10km_Light!F8</f>
        <v>157823.989361702</v>
      </c>
      <c r="C9" s="24" t="n">
        <f aca="false">10km_Light!F19</f>
        <v>154647.25</v>
      </c>
    </row>
    <row r="11" customFormat="false" ht="15" hidden="false" customHeight="true" outlineLevel="0" collapsed="false">
      <c r="A11" s="22" t="s">
        <v>79</v>
      </c>
      <c r="B11" s="22" t="s">
        <v>80</v>
      </c>
      <c r="C11" s="22" t="s">
        <v>81</v>
      </c>
    </row>
    <row r="12" customFormat="false" ht="15" hidden="false" customHeight="true" outlineLevel="0" collapsed="false">
      <c r="A12" s="23" t="s">
        <v>88</v>
      </c>
      <c r="B12" s="23"/>
      <c r="C12" s="23"/>
    </row>
    <row r="13" customFormat="false" ht="15" hidden="false" customHeight="true" outlineLevel="0" collapsed="false">
      <c r="A13" s="1" t="s">
        <v>83</v>
      </c>
      <c r="B13" s="24" t="n">
        <f aca="false">30km_Average!B8</f>
        <v>115104.393617021</v>
      </c>
      <c r="C13" s="24" t="n">
        <f aca="false">30km_Average!B19</f>
        <v>131734.75</v>
      </c>
    </row>
    <row r="14" customFormat="false" ht="15" hidden="false" customHeight="true" outlineLevel="0" collapsed="false">
      <c r="A14" s="1" t="s">
        <v>84</v>
      </c>
      <c r="B14" s="24" t="n">
        <f aca="false">30km_Average!C8</f>
        <v>144183.787234043</v>
      </c>
      <c r="C14" s="24" t="n">
        <f aca="false">30km_Average!C19</f>
        <v>138603.5</v>
      </c>
    </row>
    <row r="15" customFormat="false" ht="15" hidden="false" customHeight="true" outlineLevel="0" collapsed="false">
      <c r="A15" s="1" t="s">
        <v>85</v>
      </c>
      <c r="B15" s="24" t="n">
        <f aca="false">30km_Average!D8</f>
        <v>173263.180851064</v>
      </c>
      <c r="C15" s="24" t="n">
        <f aca="false">30km_Average!D19</f>
        <v>145472.25</v>
      </c>
    </row>
    <row r="16" customFormat="false" ht="15" hidden="false" customHeight="true" outlineLevel="0" collapsed="false">
      <c r="A16" s="1" t="s">
        <v>86</v>
      </c>
      <c r="B16" s="24" t="n">
        <f aca="false">30km_Average!E8</f>
        <v>202342.574468085</v>
      </c>
      <c r="C16" s="24" t="n">
        <f aca="false">30km_Average!E19</f>
        <v>152341</v>
      </c>
    </row>
    <row r="17" customFormat="false" ht="15" hidden="false" customHeight="true" outlineLevel="0" collapsed="false">
      <c r="A17" s="1" t="s">
        <v>87</v>
      </c>
      <c r="B17" s="24" t="n">
        <f aca="false">30km_Average!F8</f>
        <v>231421.968085106</v>
      </c>
      <c r="C17" s="24" t="n">
        <f aca="false">30km_Average!F19</f>
        <v>159209.75</v>
      </c>
    </row>
    <row r="19" customFormat="false" ht="15" hidden="false" customHeight="true" outlineLevel="0" collapsed="false">
      <c r="A19" s="22" t="s">
        <v>79</v>
      </c>
      <c r="B19" s="22" t="s">
        <v>80</v>
      </c>
      <c r="C19" s="22" t="s">
        <v>81</v>
      </c>
    </row>
    <row r="20" customFormat="false" ht="15" hidden="false" customHeight="true" outlineLevel="0" collapsed="false">
      <c r="A20" s="23" t="s">
        <v>89</v>
      </c>
      <c r="B20" s="23"/>
      <c r="C20" s="23"/>
    </row>
    <row r="21" customFormat="false" ht="15" hidden="false" customHeight="true" outlineLevel="0" collapsed="false">
      <c r="A21" s="1" t="s">
        <v>83</v>
      </c>
      <c r="B21" s="24" t="n">
        <f aca="false">50km_Heavy!B8</f>
        <v>129823.989361702</v>
      </c>
      <c r="C21" s="24" t="n">
        <f aca="false">50km_Heavy!B19</f>
        <v>132647.25</v>
      </c>
    </row>
    <row r="22" customFormat="false" ht="15" hidden="false" customHeight="true" outlineLevel="0" collapsed="false">
      <c r="A22" s="1" t="s">
        <v>84</v>
      </c>
      <c r="B22" s="24" t="n">
        <f aca="false">50km_Heavy!C8</f>
        <v>173622.978723404</v>
      </c>
      <c r="C22" s="24" t="n">
        <f aca="false">50km_Heavy!C19</f>
        <v>140428.5</v>
      </c>
    </row>
    <row r="23" customFormat="false" ht="15" hidden="false" customHeight="true" outlineLevel="0" collapsed="false">
      <c r="A23" s="1" t="s">
        <v>85</v>
      </c>
      <c r="B23" s="24" t="n">
        <f aca="false">50km_Heavy!D8</f>
        <v>217421.968085106</v>
      </c>
      <c r="C23" s="24" t="n">
        <f aca="false">50km_Heavy!D19</f>
        <v>148209.75</v>
      </c>
    </row>
    <row r="24" customFormat="false" ht="15" hidden="false" customHeight="true" outlineLevel="0" collapsed="false">
      <c r="A24" s="1" t="s">
        <v>86</v>
      </c>
      <c r="B24" s="24" t="n">
        <f aca="false">50km_Heavy!E8</f>
        <v>261220.957446809</v>
      </c>
      <c r="C24" s="24" t="n">
        <f aca="false">50km_Heavy!E19</f>
        <v>155991</v>
      </c>
    </row>
    <row r="25" customFormat="false" ht="15" hidden="false" customHeight="true" outlineLevel="0" collapsed="false">
      <c r="A25" s="1" t="s">
        <v>87</v>
      </c>
      <c r="B25" s="24" t="n">
        <f aca="false">50km_Heavy!F8</f>
        <v>305019.946808511</v>
      </c>
      <c r="C25" s="24" t="n">
        <f aca="false">50km_Heavy!F19</f>
        <v>163772.25</v>
      </c>
    </row>
    <row r="27" customFormat="false" ht="15" hidden="false" customHeight="true" outlineLevel="0" collapsed="false">
      <c r="A27" s="25" t="s">
        <v>90</v>
      </c>
      <c r="B27" s="25"/>
      <c r="C27" s="25"/>
    </row>
    <row r="28" customFormat="false" ht="15" hidden="false" customHeight="true" outlineLevel="0" collapsed="false">
      <c r="A28" s="26" t="s">
        <v>91</v>
      </c>
      <c r="B28" s="27" t="n">
        <f aca="false">Assumptions!B5</f>
        <v>147999</v>
      </c>
    </row>
    <row r="29" customFormat="false" ht="15" hidden="false" customHeight="true" outlineLevel="0" collapsed="false">
      <c r="A29" s="26" t="s">
        <v>92</v>
      </c>
      <c r="B29" s="27" t="n">
        <f aca="false">-Assumptions!B12</f>
        <v>-5000</v>
      </c>
    </row>
    <row r="30" customFormat="false" ht="15" hidden="false" customHeight="true" outlineLevel="0" collapsed="false">
      <c r="A30" s="26" t="s">
        <v>93</v>
      </c>
      <c r="B30" s="27" t="n">
        <f aca="false">-Assumptions!B13</f>
        <v>-20000</v>
      </c>
    </row>
    <row r="31" customFormat="false" ht="15" hidden="false" customHeight="true" outlineLevel="0" collapsed="false">
      <c r="A31" s="26" t="s">
        <v>94</v>
      </c>
      <c r="B31" s="27" t="n">
        <f aca="false">Assumptions!B5-Assumptions!B12-Assumptions!B13</f>
        <v>122999</v>
      </c>
    </row>
    <row r="32" customFormat="false" ht="15" hidden="false" customHeight="true" outlineLevel="0" collapsed="false">
      <c r="A32" s="26" t="s">
        <v>95</v>
      </c>
      <c r="B32" s="27" t="n">
        <f aca="false">Assumptions!B4+Assumptions!B6+Assumptions!B7</f>
        <v>89525</v>
      </c>
    </row>
  </sheetData>
  <mergeCells count="5">
    <mergeCell ref="A1:G1"/>
    <mergeCell ref="A4:C4"/>
    <mergeCell ref="A12:C12"/>
    <mergeCell ref="A20:C20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2026-04-21T20:15:16Z</dcterms:created>
  <dc:creator>openpyxl</dc:creator>
  <dc:description/>
  <dc:language>en-US</dc:language>
  <cp:lastModifiedBy/>
  <dcterms:modified xsi:type="dcterms:W3CDTF">2026-04-21T20:41:31Z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